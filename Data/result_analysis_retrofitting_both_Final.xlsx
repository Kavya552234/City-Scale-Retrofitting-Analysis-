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de\Desktop\Internship\"/>
    </mc:Choice>
  </mc:AlternateContent>
  <xr:revisionPtr revIDLastSave="0" documentId="8_{219E35CD-3E50-4AC5-B5E4-83EA6C57DE0C}" xr6:coauthVersionLast="47" xr6:coauthVersionMax="47" xr10:uidLastSave="{00000000-0000-0000-0000-000000000000}"/>
  <bookViews>
    <workbookView xWindow="-110" yWindow="-110" windowWidth="19420" windowHeight="10300" activeTab="2" xr2:uid="{B6334906-16CE-4CFE-AC9E-CACB60360525}"/>
  </bookViews>
  <sheets>
    <sheet name="navrangpura_result" sheetId="1" r:id="rId1"/>
    <sheet name="Thaltej_results" sheetId="2" r:id="rId2"/>
    <sheet name="Overall Compari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4" i="1" l="1"/>
  <c r="B104" i="1"/>
  <c r="J6" i="1"/>
  <c r="I6" i="1"/>
  <c r="B83" i="1"/>
  <c r="B82" i="1"/>
  <c r="C18" i="1"/>
  <c r="C17" i="1"/>
  <c r="B18" i="1"/>
  <c r="B17" i="1"/>
  <c r="C62" i="1"/>
  <c r="C61" i="1"/>
  <c r="B62" i="1"/>
  <c r="B61" i="1"/>
  <c r="C41" i="1"/>
  <c r="C40" i="1"/>
  <c r="B40" i="1"/>
  <c r="B41" i="1"/>
</calcChain>
</file>

<file path=xl/sharedStrings.xml><?xml version="1.0" encoding="utf-8"?>
<sst xmlns="http://schemas.openxmlformats.org/spreadsheetml/2006/main" count="170" uniqueCount="81">
  <si>
    <t>Category</t>
  </si>
  <si>
    <t>Total Energy [GJ]</t>
  </si>
  <si>
    <t>Energy Per Total Building Area [MJ/m²]</t>
  </si>
  <si>
    <t>Energy Per Conditioned Building Area [MJ/m²]</t>
  </si>
  <si>
    <t>Total Site Energy</t>
  </si>
  <si>
    <t>Total Source Energy</t>
  </si>
  <si>
    <t>1GJ=</t>
  </si>
  <si>
    <t>Retrofit Total Energy [GWh]</t>
  </si>
  <si>
    <t>Baseline Total Energy [GWh]</t>
  </si>
  <si>
    <t>Retrofit reduced Total Site Energy by 16.1% and Total Source Energy by 16.1% compared to the baseline.</t>
  </si>
  <si>
    <t>EUI Retrofit [kWh/m²·year]</t>
  </si>
  <si>
    <t>EUI Baseline [kWh/m²·year]</t>
  </si>
  <si>
    <t>1kwh=</t>
  </si>
  <si>
    <t>Area [m²]</t>
  </si>
  <si>
    <t>Total Building Area</t>
  </si>
  <si>
    <t>Net Conditioned Building Area</t>
  </si>
  <si>
    <t>Unconditioned Building Area</t>
  </si>
  <si>
    <t>RESULT ANALYSIS FOR NAVRANGPURA</t>
  </si>
  <si>
    <t>Retrofit Buildings</t>
  </si>
  <si>
    <t>Baseline Buildings</t>
  </si>
  <si>
    <t>Cooling Electricity Demand(Gj)</t>
  </si>
  <si>
    <t>Cooling Electricity Demand(Gwh)</t>
  </si>
  <si>
    <t>Retrofit Total Energy [KWh]</t>
  </si>
  <si>
    <t>Baseline Total Energy [KWh]</t>
  </si>
  <si>
    <t>grid emission factor</t>
  </si>
  <si>
    <t>Operational Carbon (tCO2​/year)</t>
  </si>
  <si>
    <r>
      <t xml:space="preserve">Building envelope retrofitting significantly decreased the annual cooling electricity demand by </t>
    </r>
    <r>
      <rPr>
        <b/>
        <sz val="12"/>
        <color theme="1"/>
        <rFont val="Aptos Narrow"/>
        <family val="2"/>
        <scheme val="minor"/>
      </rPr>
      <t>11.81 GWh (30.5%)</t>
    </r>
    <r>
      <rPr>
        <sz val="12"/>
        <color theme="1"/>
        <rFont val="Aptos Narrow"/>
        <family val="2"/>
        <scheme val="minor"/>
      </rPr>
      <t>, demonstrating improved energy efficiency.</t>
    </r>
  </si>
  <si>
    <r>
      <t xml:space="preserve">Building envelope retrofitting lowered annual operational carbon emissions by </t>
    </r>
    <r>
      <rPr>
        <b/>
        <i/>
        <sz val="12"/>
        <color theme="1"/>
        <rFont val="Aptos Narrow"/>
        <family val="2"/>
        <scheme val="minor"/>
      </rPr>
      <t>13,741.06 tCO₂/year (16.1%)</t>
    </r>
    <r>
      <rPr>
        <i/>
        <sz val="12"/>
        <color theme="1"/>
        <rFont val="Aptos Narrow"/>
        <family val="2"/>
        <scheme val="minor"/>
      </rPr>
      <t>, demonstrating a significant reduction in the environmental impact of building operations.</t>
    </r>
  </si>
  <si>
    <t>Baseline</t>
  </si>
  <si>
    <t>Retrofit</t>
  </si>
  <si>
    <t>Total Site Energy (GJ)</t>
  </si>
  <si>
    <t>Total Source Energy (GJ)</t>
  </si>
  <si>
    <t>Energy per Total Building Area (MJ/m²)</t>
  </si>
  <si>
    <t>Cooling Electricity Demand</t>
  </si>
  <si>
    <t>Total Site Energy (kWh)</t>
  </si>
  <si>
    <t>Total Source Energy (kWh)</t>
  </si>
  <si>
    <t>End Use</t>
  </si>
  <si>
    <t>Cooling</t>
  </si>
  <si>
    <t>Interior Lighting</t>
  </si>
  <si>
    <t>Interior Equipment</t>
  </si>
  <si>
    <t>Fans</t>
  </si>
  <si>
    <t>Parameter</t>
  </si>
  <si>
    <t>Site and Source Energy Comparison</t>
  </si>
  <si>
    <t>Value (m²)</t>
  </si>
  <si>
    <t>Baseline (GJ)</t>
  </si>
  <si>
    <t>Cooling Energy</t>
  </si>
  <si>
    <t>Energy (kWh)</t>
  </si>
  <si>
    <t>Energy (GWh)</t>
  </si>
  <si>
    <t>(1 GJ = 277.778 kWh)</t>
  </si>
  <si>
    <t>End Use Energy Comparison</t>
  </si>
  <si>
    <t>Retrofit (GJ)</t>
  </si>
  <si>
    <t>Energy per Conditioned Building Area (MJ/m²)</t>
  </si>
  <si>
    <t>Percentage Reduction After Retrofit</t>
  </si>
  <si>
    <t>Reduction (%)</t>
  </si>
  <si>
    <t>Energy per Total Building Area</t>
  </si>
  <si>
    <t>Energy per Conditioned Building Area</t>
  </si>
  <si>
    <t>Energy Use Intensity (EUI) Comparison</t>
  </si>
  <si>
    <t>Building Area Details</t>
  </si>
  <si>
    <t>Baseline Energy Performance Comparison</t>
  </si>
  <si>
    <t>Navrangpura</t>
  </si>
  <si>
    <t>Thaltej</t>
  </si>
  <si>
    <t>Total Building Area (m²)</t>
  </si>
  <si>
    <t>Conditioned Area (m²)</t>
  </si>
  <si>
    <t>Site Energy Intensity (MJ/m²)</t>
  </si>
  <si>
    <t>Source Energy Intensity (MJ/m²)</t>
  </si>
  <si>
    <t>Baseline Major Energy Consumption</t>
  </si>
  <si>
    <t>Navrangpura (GJ)</t>
  </si>
  <si>
    <t>Thaltej (GJ)</t>
  </si>
  <si>
    <t>Heating</t>
  </si>
  <si>
    <t>Retrofit Energy Performance Comparison</t>
  </si>
  <si>
    <t>Retrofit Major Energy Consumption</t>
  </si>
  <si>
    <t>Navrangpura (%)</t>
  </si>
  <si>
    <t>Thaltej (%)</t>
  </si>
  <si>
    <t>Site Energy Intensity</t>
  </si>
  <si>
    <t>Source Energy Intensity</t>
  </si>
  <si>
    <t>Percentage Reduction Due to Retrofit</t>
  </si>
  <si>
    <t>Navrangpura Baseline</t>
  </si>
  <si>
    <t>Navrangpura Retrofit</t>
  </si>
  <si>
    <t>Thaltej Baseline</t>
  </si>
  <si>
    <t>Thaltej Retrofit</t>
  </si>
  <si>
    <t>Energy Intensity Comparison (Baseline vs Retrofit)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</si>
</sst>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0" xfId="0" applyFont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5" fillId="0" borderId="0" xfId="0" applyFont="1"/>
    <xf numFmtId="0" fontId="0" fillId="3" borderId="0" xfId="0" applyFill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7" fillId="0" borderId="0" xfId="0" applyFont="1"/>
    <xf numFmtId="0" fontId="1" fillId="0" borderId="0" xfId="0" applyFont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EUI Comparison for Unconditioned Building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navrangpura_result!$B$39</c:f>
              <c:strCache>
                <c:ptCount val="1"/>
                <c:pt idx="0">
                  <c:v>EUI Retrofit [kWh/m²·year]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navrangpura_result!$A$40:$A$41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navrangpura_result!$B$40:$B$41</c:f>
              <c:numCache>
                <c:formatCode>0.00</c:formatCode>
                <c:ptCount val="2"/>
                <c:pt idx="0">
                  <c:v>121.15277777777777</c:v>
                </c:pt>
                <c:pt idx="1">
                  <c:v>383.68888888888887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6-4A2A-8CA5-15FBB8F8A549}"/>
            </c:ext>
          </c:extLst>
        </c:ser>
        <c:ser>
          <c:idx val="1"/>
          <c:order val="1"/>
          <c:tx>
            <c:strRef>
              <c:f>navrangpura_result!$C$39</c:f>
              <c:strCache>
                <c:ptCount val="1"/>
                <c:pt idx="0">
                  <c:v>EUI Baseline [kWh/m²·year]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navrangpura_result!$A$40:$A$41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navrangpura_result!$C$40:$C$41</c:f>
              <c:numCache>
                <c:formatCode>0.00</c:formatCode>
                <c:ptCount val="2"/>
                <c:pt idx="0">
                  <c:v>144.41388888888889</c:v>
                </c:pt>
                <c:pt idx="1">
                  <c:v>457.35833333333335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6-4A2A-8CA5-15FBB8F8A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71420800"/>
        <c:axId val="1568977311"/>
      </c:barChart>
      <c:catAx>
        <c:axId val="77142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77311"/>
        <c:crosses val="autoZero"/>
        <c:auto val="1"/>
        <c:lblAlgn val="ctr"/>
        <c:lblOffset val="100"/>
        <c:noMultiLvlLbl val="0"/>
      </c:catAx>
      <c:valAx>
        <c:axId val="15689773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7142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EUI Comparison for Conditioned Building Area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navrangpura_result!$B$60</c:f>
              <c:strCache>
                <c:ptCount val="1"/>
                <c:pt idx="0">
                  <c:v>EUI Retrofit [kWh/m²·year]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navrangpura_result!$A$61:$A$62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navrangpura_result!$B$61:$B$62</c:f>
              <c:numCache>
                <c:formatCode>0.00</c:formatCode>
                <c:ptCount val="2"/>
                <c:pt idx="0">
                  <c:v>242.30555555555554</c:v>
                </c:pt>
                <c:pt idx="1">
                  <c:v>767.37777777777774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4A5E-871E-5B7FC81DB151}"/>
            </c:ext>
          </c:extLst>
        </c:ser>
        <c:ser>
          <c:idx val="1"/>
          <c:order val="1"/>
          <c:tx>
            <c:strRef>
              <c:f>navrangpura_result!$C$60</c:f>
              <c:strCache>
                <c:ptCount val="1"/>
                <c:pt idx="0">
                  <c:v>EUI Baseline [kWh/m²·year]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navrangpura_result!$A$61:$A$62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navrangpura_result!$C$61:$C$62</c:f>
              <c:numCache>
                <c:formatCode>0.00</c:formatCode>
                <c:ptCount val="2"/>
                <c:pt idx="0">
                  <c:v>288.82777777777778</c:v>
                </c:pt>
                <c:pt idx="1">
                  <c:v>914.71388888888885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2-4A5E-871E-5B7FC81DB1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86133248"/>
        <c:axId val="1569006591"/>
      </c:barChart>
      <c:catAx>
        <c:axId val="78613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06591"/>
        <c:crosses val="autoZero"/>
        <c:auto val="1"/>
        <c:lblAlgn val="ctr"/>
        <c:lblOffset val="100"/>
        <c:noMultiLvlLbl val="0"/>
      </c:catAx>
      <c:valAx>
        <c:axId val="15690065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861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Site</a:t>
            </a:r>
            <a:r>
              <a:rPr lang="en-US" baseline="0"/>
              <a:t> &amp; Source Energy Comparison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navrangpura_result!$B$16</c:f>
              <c:strCache>
                <c:ptCount val="1"/>
                <c:pt idx="0">
                  <c:v>Retrofit Total Energy [GWh]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navrangpura_result!$A$17:$A$18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navrangpura_result!$B$17:$B$18</c:f>
              <c:numCache>
                <c:formatCode>0.00</c:formatCode>
                <c:ptCount val="2"/>
                <c:pt idx="0">
                  <c:v>99.983272222222226</c:v>
                </c:pt>
                <c:pt idx="1">
                  <c:v>316.64702499999999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8-49E5-8276-71F42B261835}"/>
            </c:ext>
          </c:extLst>
        </c:ser>
        <c:ser>
          <c:idx val="1"/>
          <c:order val="1"/>
          <c:tx>
            <c:strRef>
              <c:f>navrangpura_result!$C$16</c:f>
              <c:strCache>
                <c:ptCount val="1"/>
                <c:pt idx="0">
                  <c:v>Baseline Total Energy [GWh]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navrangpura_result!$A$17:$A$18</c:f>
              <c:strCache>
                <c:ptCount val="2"/>
                <c:pt idx="0">
                  <c:v>Total Site Energy</c:v>
                </c:pt>
                <c:pt idx="1">
                  <c:v>Total Source Energy</c:v>
                </c:pt>
              </c:strCache>
            </c:strRef>
          </c:cat>
          <c:val>
            <c:numRef>
              <c:f>navrangpura_result!$C$17:$C$18</c:f>
              <c:numCache>
                <c:formatCode>0.00</c:formatCode>
                <c:ptCount val="2"/>
                <c:pt idx="0">
                  <c:v>119.18007777777778</c:v>
                </c:pt>
                <c:pt idx="1">
                  <c:v>377.44330277777777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8-49E5-8276-71F42B2618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71429616"/>
        <c:axId val="1569004191"/>
      </c:barChart>
      <c:catAx>
        <c:axId val="77142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04191"/>
        <c:crosses val="autoZero"/>
        <c:auto val="1"/>
        <c:lblAlgn val="ctr"/>
        <c:lblOffset val="100"/>
        <c:noMultiLvlLbl val="0"/>
      </c:catAx>
      <c:valAx>
        <c:axId val="15690041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7142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/>
              <a:t>Comparison of Baseline and Retrofit Cooling Load (Gwh)</a:t>
            </a:r>
            <a:endParaRPr lang="en-US" sz="1100"/>
          </a:p>
        </c:rich>
      </c:tx>
      <c:layout>
        <c:manualLayout>
          <c:xMode val="edge"/>
          <c:yMode val="edge"/>
          <c:x val="0.2082152230971128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navrangpura_result!$A$82</c:f>
              <c:strCache>
                <c:ptCount val="1"/>
                <c:pt idx="0">
                  <c:v>Baseline Buildings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39-4440-8155-C6C5C29F9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navrangpura_result!$B$81</c:f>
              <c:strCache>
                <c:ptCount val="1"/>
                <c:pt idx="0">
                  <c:v>Cooling Electricity Demand(Gwh)</c:v>
                </c:pt>
              </c:strCache>
            </c:strRef>
          </c:cat>
          <c:val>
            <c:numRef>
              <c:f>navrangpura_result!$B$82</c:f>
              <c:numCache>
                <c:formatCode>0.00</c:formatCode>
                <c:ptCount val="1"/>
                <c:pt idx="0">
                  <c:v>38.774444444444441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9-4440-8155-C6C5C29F96B0}"/>
            </c:ext>
          </c:extLst>
        </c:ser>
        <c:ser>
          <c:idx val="1"/>
          <c:order val="1"/>
          <c:tx>
            <c:strRef>
              <c:f>navrangpura_result!$A$83</c:f>
              <c:strCache>
                <c:ptCount val="1"/>
                <c:pt idx="0">
                  <c:v>Retrofit Buildings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navrangpura_result!$B$81</c:f>
              <c:strCache>
                <c:ptCount val="1"/>
                <c:pt idx="0">
                  <c:v>Cooling Electricity Demand(Gwh)</c:v>
                </c:pt>
              </c:strCache>
            </c:strRef>
          </c:cat>
          <c:val>
            <c:numRef>
              <c:f>navrangpura_result!$B$83</c:f>
              <c:numCache>
                <c:formatCode>0.00</c:formatCode>
                <c:ptCount val="1"/>
                <c:pt idx="0">
                  <c:v>26.96361111111111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9-4440-8155-C6C5C29F96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4853471"/>
        <c:axId val="1533740575"/>
      </c:barChart>
      <c:catAx>
        <c:axId val="1464853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3740575"/>
        <c:crosses val="autoZero"/>
        <c:auto val="1"/>
        <c:lblAlgn val="ctr"/>
        <c:lblOffset val="100"/>
        <c:noMultiLvlLbl val="0"/>
      </c:catAx>
      <c:valAx>
        <c:axId val="1533740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46485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Comparison of Operation Carbon (tCO2​/year)</a:t>
            </a:r>
          </a:p>
        </c:rich>
      </c:tx>
      <c:layout>
        <c:manualLayout>
          <c:xMode val="edge"/>
          <c:yMode val="edge"/>
          <c:x val="0.14043044619422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navrangpura_result!$A$104</c:f>
              <c:strCache>
                <c:ptCount val="1"/>
                <c:pt idx="0">
                  <c:v>Operational Carbon (tCO2​/year)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navrangpura_result!$B$103:$C$103</c:f>
              <c:strCache>
                <c:ptCount val="2"/>
                <c:pt idx="0">
                  <c:v>Baseline Buildings</c:v>
                </c:pt>
                <c:pt idx="1">
                  <c:v>Retrofit Buildings</c:v>
                </c:pt>
              </c:strCache>
            </c:strRef>
          </c:cat>
          <c:val>
            <c:numRef>
              <c:f>navrangpura_result!$B$104:$C$104</c:f>
              <c:numCache>
                <c:formatCode>0.00</c:formatCode>
                <c:ptCount val="2"/>
                <c:pt idx="0">
                  <c:v>85309.042466896004</c:v>
                </c:pt>
                <c:pt idx="1">
                  <c:v>71567.978264696008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9-4C30-8F92-6842A639CE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68487152"/>
        <c:axId val="1568990271"/>
      </c:barChart>
      <c:catAx>
        <c:axId val="66848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90271"/>
        <c:crosses val="autoZero"/>
        <c:auto val="1"/>
        <c:lblAlgn val="ctr"/>
        <c:lblOffset val="100"/>
        <c:noMultiLvlLbl val="0"/>
      </c:catAx>
      <c:valAx>
        <c:axId val="1568990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66848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Site and Source Energy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Thaltej_results!$A$3</c:f>
              <c:strCache>
                <c:ptCount val="1"/>
                <c:pt idx="0">
                  <c:v>Total Site Energy (GJ)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Thaltej_results!$B$2:$C$2</c:f>
              <c:strCache>
                <c:ptCount val="2"/>
                <c:pt idx="0">
                  <c:v>Baseline</c:v>
                </c:pt>
                <c:pt idx="1">
                  <c:v>Retrofit</c:v>
                </c:pt>
              </c:strCache>
            </c:strRef>
          </c:cat>
          <c:val>
            <c:numRef>
              <c:f>Thaltej_results!$B$3:$C$3</c:f>
              <c:numCache>
                <c:formatCode>General</c:formatCode>
                <c:ptCount val="2"/>
                <c:pt idx="0">
                  <c:v>651649.56000000006</c:v>
                </c:pt>
                <c:pt idx="1">
                  <c:v>537968.87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0-4DE5-BB31-567CD3575129}"/>
            </c:ext>
          </c:extLst>
        </c:ser>
        <c:ser>
          <c:idx val="1"/>
          <c:order val="1"/>
          <c:tx>
            <c:strRef>
              <c:f>Thaltej_results!$A$4</c:f>
              <c:strCache>
                <c:ptCount val="1"/>
                <c:pt idx="0">
                  <c:v>Total Source Energy (GJ)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Thaltej_results!$B$2:$C$2</c:f>
              <c:strCache>
                <c:ptCount val="2"/>
                <c:pt idx="0">
                  <c:v>Baseline</c:v>
                </c:pt>
                <c:pt idx="1">
                  <c:v>Retrofit</c:v>
                </c:pt>
              </c:strCache>
            </c:strRef>
          </c:cat>
          <c:val>
            <c:numRef>
              <c:f>Thaltej_results!$B$4:$C$4</c:f>
              <c:numCache>
                <c:formatCode>General</c:formatCode>
                <c:ptCount val="2"/>
                <c:pt idx="0">
                  <c:v>2063774.14</c:v>
                </c:pt>
                <c:pt idx="1">
                  <c:v>1703747.42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0-4DE5-BB31-567CD3575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540260927"/>
        <c:axId val="1353153519"/>
      </c:barChart>
      <c:catAx>
        <c:axId val="154026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53519"/>
        <c:crosses val="autoZero"/>
        <c:auto val="1"/>
        <c:lblAlgn val="ctr"/>
        <c:lblOffset val="100"/>
        <c:noMultiLvlLbl val="0"/>
      </c:catAx>
      <c:valAx>
        <c:axId val="13531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26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Cooling Electricity Demand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Thaltej_results!$K$3</c:f>
              <c:strCache>
                <c:ptCount val="1"/>
                <c:pt idx="0">
                  <c:v>Cooling Energy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Thaltej_results!$L$2:$M$2</c:f>
              <c:strCache>
                <c:ptCount val="2"/>
                <c:pt idx="0">
                  <c:v>Baseline (GJ)</c:v>
                </c:pt>
                <c:pt idx="1">
                  <c:v>Retrofit (GJ)</c:v>
                </c:pt>
              </c:strCache>
            </c:strRef>
          </c:cat>
          <c:val>
            <c:numRef>
              <c:f>Thaltej_results!$L$3:$M$3</c:f>
              <c:numCache>
                <c:formatCode>General</c:formatCode>
                <c:ptCount val="2"/>
                <c:pt idx="0">
                  <c:v>233170.63</c:v>
                </c:pt>
                <c:pt idx="1">
                  <c:v>158091.95000000001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2-4FF1-849F-9D84F4B912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348758799"/>
        <c:axId val="1353149679"/>
      </c:barChart>
      <c:catAx>
        <c:axId val="134875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49679"/>
        <c:crosses val="autoZero"/>
        <c:auto val="1"/>
        <c:lblAlgn val="ctr"/>
        <c:lblOffset val="100"/>
        <c:noMultiLvlLbl val="0"/>
      </c:catAx>
      <c:valAx>
        <c:axId val="135314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5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 of End Use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Thaltej_results!$B$20</c:f>
              <c:strCache>
                <c:ptCount val="1"/>
                <c:pt idx="0">
                  <c:v>Baseline (GJ)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Thaltej_results!$A$21:$A$24</c:f>
              <c:strCache>
                <c:ptCount val="4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</c:strCache>
            </c:strRef>
          </c:cat>
          <c:val>
            <c:numRef>
              <c:f>Thaltej_results!$B$21:$B$24</c:f>
              <c:numCache>
                <c:formatCode>General</c:formatCode>
                <c:ptCount val="4"/>
                <c:pt idx="0">
                  <c:v>233170.63</c:v>
                </c:pt>
                <c:pt idx="1">
                  <c:v>225382.2</c:v>
                </c:pt>
                <c:pt idx="2">
                  <c:v>187818.5</c:v>
                </c:pt>
                <c:pt idx="3">
                  <c:v>5278.22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C-4220-81E1-FBE849C53960}"/>
            </c:ext>
          </c:extLst>
        </c:ser>
        <c:ser>
          <c:idx val="1"/>
          <c:order val="1"/>
          <c:tx>
            <c:strRef>
              <c:f>Thaltej_results!$C$20</c:f>
              <c:strCache>
                <c:ptCount val="1"/>
                <c:pt idx="0">
                  <c:v>Retrofit (GJ)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Thaltej_results!$A$21:$A$24</c:f>
              <c:strCache>
                <c:ptCount val="4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</c:strCache>
            </c:strRef>
          </c:cat>
          <c:val>
            <c:numRef>
              <c:f>Thaltej_results!$C$21:$C$24</c:f>
              <c:numCache>
                <c:formatCode>General</c:formatCode>
                <c:ptCount val="4"/>
                <c:pt idx="0">
                  <c:v>158091.95000000001</c:v>
                </c:pt>
                <c:pt idx="1">
                  <c:v>187818.5</c:v>
                </c:pt>
                <c:pt idx="2">
                  <c:v>187818.5</c:v>
                </c:pt>
                <c:pt idx="3">
                  <c:v>4239.92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C-4220-81E1-FBE849C539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9158463"/>
        <c:axId val="1110721295"/>
      </c:barChart>
      <c:catAx>
        <c:axId val="1449158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21295"/>
        <c:crosses val="autoZero"/>
        <c:auto val="1"/>
        <c:lblAlgn val="ctr"/>
        <c:lblOffset val="100"/>
        <c:noMultiLvlLbl val="0"/>
      </c:catAx>
      <c:valAx>
        <c:axId val="111072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5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 of Energy Use Intensity (EUI)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Thaltej_results!$B$42</c:f>
              <c:strCache>
                <c:ptCount val="1"/>
                <c:pt idx="0">
                  <c:v>Baseline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Thaltej_results!$A$43:$A$44</c:f>
              <c:strCache>
                <c:ptCount val="2"/>
                <c:pt idx="0">
                  <c:v>Energy per Total Building Area (MJ/m²)</c:v>
                </c:pt>
                <c:pt idx="1">
                  <c:v>Energy per Conditioned Building Area (MJ/m²)</c:v>
                </c:pt>
              </c:strCache>
            </c:strRef>
          </c:cat>
          <c:val>
            <c:numRef>
              <c:f>Thaltej_results!$B$43:$B$44</c:f>
              <c:numCache>
                <c:formatCode>General</c:formatCode>
                <c:ptCount val="2"/>
                <c:pt idx="0">
                  <c:v>547.08000000000004</c:v>
                </c:pt>
                <c:pt idx="1">
                  <c:v>1094.1600000000001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F-4C1E-A8C5-94924D7C91C8}"/>
            </c:ext>
          </c:extLst>
        </c:ser>
        <c:ser>
          <c:idx val="1"/>
          <c:order val="1"/>
          <c:tx>
            <c:strRef>
              <c:f>Thaltej_results!$C$42</c:f>
              <c:strCache>
                <c:ptCount val="1"/>
                <c:pt idx="0">
                  <c:v>Retrofit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Thaltej_results!$A$43:$A$44</c:f>
              <c:strCache>
                <c:ptCount val="2"/>
                <c:pt idx="0">
                  <c:v>Energy per Total Building Area (MJ/m²)</c:v>
                </c:pt>
                <c:pt idx="1">
                  <c:v>Energy per Conditioned Building Area (MJ/m²)</c:v>
                </c:pt>
              </c:strCache>
            </c:strRef>
          </c:cat>
          <c:val>
            <c:numRef>
              <c:f>Thaltej_results!$C$43:$C$44</c:f>
              <c:numCache>
                <c:formatCode>General</c:formatCode>
                <c:ptCount val="2"/>
                <c:pt idx="0">
                  <c:v>451.64</c:v>
                </c:pt>
                <c:pt idx="1">
                  <c:v>903.29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F-4C1E-A8C5-94924D7C91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49238735"/>
        <c:axId val="1110803375"/>
      </c:barChart>
      <c:catAx>
        <c:axId val="144923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03375"/>
        <c:crosses val="autoZero"/>
        <c:auto val="1"/>
        <c:lblAlgn val="ctr"/>
        <c:lblOffset val="100"/>
        <c:noMultiLvlLbl val="0"/>
      </c:catAx>
      <c:valAx>
        <c:axId val="111080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Percentage Reduction in Energy Consumption After Retrofit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Thaltej_results!$F$14</c:f>
              <c:strCache>
                <c:ptCount val="1"/>
                <c:pt idx="0">
                  <c:v>Reduction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Thaltej_results!$E$15:$E$21</c:f>
              <c:strCache>
                <c:ptCount val="7"/>
                <c:pt idx="0">
                  <c:v>Total Site Energy</c:v>
                </c:pt>
                <c:pt idx="1">
                  <c:v>Total Source Energy</c:v>
                </c:pt>
                <c:pt idx="2">
                  <c:v>Cooling Energy</c:v>
                </c:pt>
                <c:pt idx="3">
                  <c:v>Interior Lighting</c:v>
                </c:pt>
                <c:pt idx="4">
                  <c:v>Fans</c:v>
                </c:pt>
                <c:pt idx="5">
                  <c:v>Energy per Total Building Area</c:v>
                </c:pt>
                <c:pt idx="6">
                  <c:v>Energy per Conditioned Building Area</c:v>
                </c:pt>
              </c:strCache>
            </c:strRef>
          </c:cat>
          <c:val>
            <c:numRef>
              <c:f>Thaltej_results!$F$15:$F$21</c:f>
              <c:numCache>
                <c:formatCode>General</c:formatCode>
                <c:ptCount val="7"/>
                <c:pt idx="0">
                  <c:v>17.45</c:v>
                </c:pt>
                <c:pt idx="1">
                  <c:v>17.440000000000001</c:v>
                </c:pt>
                <c:pt idx="2">
                  <c:v>32.200000000000003</c:v>
                </c:pt>
                <c:pt idx="3">
                  <c:v>16.670000000000002</c:v>
                </c:pt>
                <c:pt idx="4">
                  <c:v>19.670000000000002</c:v>
                </c:pt>
                <c:pt idx="5">
                  <c:v>17.440000000000001</c:v>
                </c:pt>
                <c:pt idx="6">
                  <c:v>17.440000000000001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2-4D71-939A-5C73EF3BF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30741903"/>
        <c:axId val="1110761615"/>
      </c:barChart>
      <c:catAx>
        <c:axId val="173074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615"/>
        <c:crosses val="autoZero"/>
        <c:auto val="1"/>
        <c:lblAlgn val="ctr"/>
        <c:lblOffset val="100"/>
        <c:noMultiLvlLbl val="0"/>
      </c:catAx>
      <c:valAx>
        <c:axId val="111076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4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Baseline Energy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Comparison'!$B$2</c:f>
              <c:strCache>
                <c:ptCount val="1"/>
                <c:pt idx="0">
                  <c:v>Navrangpura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Comparison'!$A$3:$A$8</c:f>
              <c:strCache>
                <c:ptCount val="6"/>
                <c:pt idx="0">
                  <c:v>Total Building Area (m²)</c:v>
                </c:pt>
                <c:pt idx="1">
                  <c:v>Conditioned Area (m²)</c:v>
                </c:pt>
                <c:pt idx="2">
                  <c:v>Total Site Energy (GJ)</c:v>
                </c:pt>
                <c:pt idx="3">
                  <c:v>Total Source Energy (GJ)</c:v>
                </c:pt>
                <c:pt idx="4">
                  <c:v>Site Energy Intensity (MJ/m²)</c:v>
                </c:pt>
                <c:pt idx="5">
                  <c:v>Source Energy Intensity (MJ/m²)</c:v>
                </c:pt>
              </c:strCache>
            </c:strRef>
          </c:cat>
          <c:val>
            <c:numRef>
              <c:f>'Overall Comparison'!$B$3:$B$8</c:f>
              <c:numCache>
                <c:formatCode>General</c:formatCode>
                <c:ptCount val="6"/>
                <c:pt idx="0">
                  <c:v>825269.59</c:v>
                </c:pt>
                <c:pt idx="1">
                  <c:v>412634.79</c:v>
                </c:pt>
                <c:pt idx="2">
                  <c:v>429048.28</c:v>
                </c:pt>
                <c:pt idx="3">
                  <c:v>1358795.89</c:v>
                </c:pt>
                <c:pt idx="4">
                  <c:v>519.89</c:v>
                </c:pt>
                <c:pt idx="5">
                  <c:v>1646.49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E-4C52-BA69-7729538909AD}"/>
            </c:ext>
          </c:extLst>
        </c:ser>
        <c:ser>
          <c:idx val="1"/>
          <c:order val="1"/>
          <c:tx>
            <c:strRef>
              <c:f>'Overall Comparison'!$C$2</c:f>
              <c:strCache>
                <c:ptCount val="1"/>
                <c:pt idx="0">
                  <c:v>Thaltej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Comparison'!$A$3:$A$8</c:f>
              <c:strCache>
                <c:ptCount val="6"/>
                <c:pt idx="0">
                  <c:v>Total Building Area (m²)</c:v>
                </c:pt>
                <c:pt idx="1">
                  <c:v>Conditioned Area (m²)</c:v>
                </c:pt>
                <c:pt idx="2">
                  <c:v>Total Site Energy (GJ)</c:v>
                </c:pt>
                <c:pt idx="3">
                  <c:v>Total Source Energy (GJ)</c:v>
                </c:pt>
                <c:pt idx="4">
                  <c:v>Site Energy Intensity (MJ/m²)</c:v>
                </c:pt>
                <c:pt idx="5">
                  <c:v>Source Energy Intensity (MJ/m²)</c:v>
                </c:pt>
              </c:strCache>
            </c:strRef>
          </c:cat>
          <c:val>
            <c:numRef>
              <c:f>'Overall Comparison'!$C$3:$C$8</c:f>
              <c:numCache>
                <c:formatCode>General</c:formatCode>
                <c:ptCount val="6"/>
                <c:pt idx="0">
                  <c:v>1191137.1299999999</c:v>
                </c:pt>
                <c:pt idx="1">
                  <c:v>595568.56999999995</c:v>
                </c:pt>
                <c:pt idx="2">
                  <c:v>651649.56000000006</c:v>
                </c:pt>
                <c:pt idx="3">
                  <c:v>2063774.14</c:v>
                </c:pt>
                <c:pt idx="4">
                  <c:v>547.08000000000004</c:v>
                </c:pt>
                <c:pt idx="5">
                  <c:v>1732.61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E-4C52-BA69-772953890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30787375"/>
        <c:axId val="1110786575"/>
      </c:barChart>
      <c:catAx>
        <c:axId val="173078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6575"/>
        <c:crosses val="autoZero"/>
        <c:auto val="1"/>
        <c:lblAlgn val="ctr"/>
        <c:lblOffset val="100"/>
        <c:noMultiLvlLbl val="0"/>
      </c:catAx>
      <c:valAx>
        <c:axId val="111078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Baseline Major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Comparison'!$F$2</c:f>
              <c:strCache>
                <c:ptCount val="1"/>
                <c:pt idx="0">
                  <c:v>Navrangpura (GJ)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Comparison'!$E$3:$E$7</c:f>
              <c:strCache>
                <c:ptCount val="5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  <c:pt idx="4">
                  <c:v>Heating</c:v>
                </c:pt>
              </c:strCache>
            </c:strRef>
          </c:cat>
          <c:val>
            <c:numRef>
              <c:f>'Overall Comparison'!$F$3:$F$7</c:f>
              <c:numCache>
                <c:formatCode>General</c:formatCode>
                <c:ptCount val="5"/>
                <c:pt idx="0">
                  <c:v>139588.6</c:v>
                </c:pt>
                <c:pt idx="1">
                  <c:v>156154.21</c:v>
                </c:pt>
                <c:pt idx="2">
                  <c:v>130128.51</c:v>
                </c:pt>
                <c:pt idx="3">
                  <c:v>3176.96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0-4E55-9504-D49387439C51}"/>
            </c:ext>
          </c:extLst>
        </c:ser>
        <c:ser>
          <c:idx val="1"/>
          <c:order val="1"/>
          <c:tx>
            <c:strRef>
              <c:f>'Overall Comparison'!$G$2</c:f>
              <c:strCache>
                <c:ptCount val="1"/>
                <c:pt idx="0">
                  <c:v>Thaltej (GJ)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Comparison'!$E$3:$E$7</c:f>
              <c:strCache>
                <c:ptCount val="5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  <c:pt idx="4">
                  <c:v>Heating</c:v>
                </c:pt>
              </c:strCache>
            </c:strRef>
          </c:cat>
          <c:val>
            <c:numRef>
              <c:f>'Overall Comparison'!$G$3:$G$7</c:f>
              <c:numCache>
                <c:formatCode>General</c:formatCode>
                <c:ptCount val="5"/>
                <c:pt idx="0">
                  <c:v>233170.63</c:v>
                </c:pt>
                <c:pt idx="1">
                  <c:v>225382.2</c:v>
                </c:pt>
                <c:pt idx="2">
                  <c:v>187818.5</c:v>
                </c:pt>
                <c:pt idx="3">
                  <c:v>5278.22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0-4E55-9504-D49387439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9181663"/>
        <c:axId val="1110790895"/>
      </c:barChart>
      <c:catAx>
        <c:axId val="144918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90895"/>
        <c:crosses val="autoZero"/>
        <c:auto val="1"/>
        <c:lblAlgn val="ctr"/>
        <c:lblOffset val="100"/>
        <c:noMultiLvlLbl val="0"/>
      </c:catAx>
      <c:valAx>
        <c:axId val="111079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Retrofit Energy Performance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Comparison'!$J$2</c:f>
              <c:strCache>
                <c:ptCount val="1"/>
                <c:pt idx="0">
                  <c:v>Navrangpura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Comparison'!$I$3:$I$6</c:f>
              <c:strCache>
                <c:ptCount val="4"/>
                <c:pt idx="0">
                  <c:v>Total Site Energy (GJ)</c:v>
                </c:pt>
                <c:pt idx="1">
                  <c:v>Total Source Energy (GJ)</c:v>
                </c:pt>
                <c:pt idx="2">
                  <c:v>Site Energy Intensity (MJ/m²)</c:v>
                </c:pt>
                <c:pt idx="3">
                  <c:v>Source Energy Intensity (MJ/m²)</c:v>
                </c:pt>
              </c:strCache>
            </c:strRef>
          </c:cat>
          <c:val>
            <c:numRef>
              <c:f>'Overall Comparison'!$J$3:$J$6</c:f>
              <c:numCache>
                <c:formatCode>General</c:formatCode>
                <c:ptCount val="4"/>
                <c:pt idx="0">
                  <c:v>353949.73</c:v>
                </c:pt>
                <c:pt idx="1">
                  <c:v>1120806.6499999999</c:v>
                </c:pt>
                <c:pt idx="2">
                  <c:v>428.87</c:v>
                </c:pt>
                <c:pt idx="3">
                  <c:v>1358.14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4C35-9D7E-8E90F7E66D30}"/>
            </c:ext>
          </c:extLst>
        </c:ser>
        <c:ser>
          <c:idx val="1"/>
          <c:order val="1"/>
          <c:tx>
            <c:strRef>
              <c:f>'Overall Comparison'!$K$2</c:f>
              <c:strCache>
                <c:ptCount val="1"/>
                <c:pt idx="0">
                  <c:v>Thaltej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Comparison'!$I$3:$I$6</c:f>
              <c:strCache>
                <c:ptCount val="4"/>
                <c:pt idx="0">
                  <c:v>Total Site Energy (GJ)</c:v>
                </c:pt>
                <c:pt idx="1">
                  <c:v>Total Source Energy (GJ)</c:v>
                </c:pt>
                <c:pt idx="2">
                  <c:v>Site Energy Intensity (MJ/m²)</c:v>
                </c:pt>
                <c:pt idx="3">
                  <c:v>Source Energy Intensity (MJ/m²)</c:v>
                </c:pt>
              </c:strCache>
            </c:strRef>
          </c:cat>
          <c:val>
            <c:numRef>
              <c:f>'Overall Comparison'!$K$3:$K$6</c:f>
              <c:numCache>
                <c:formatCode>General</c:formatCode>
                <c:ptCount val="4"/>
                <c:pt idx="0">
                  <c:v>537968.87</c:v>
                </c:pt>
                <c:pt idx="1">
                  <c:v>1703747.42</c:v>
                </c:pt>
                <c:pt idx="2">
                  <c:v>451.64</c:v>
                </c:pt>
                <c:pt idx="3">
                  <c:v>1430.26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7-4C35-9D7E-8E90F7E66D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730849551"/>
        <c:axId val="1353145359"/>
      </c:barChart>
      <c:catAx>
        <c:axId val="173084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45359"/>
        <c:crosses val="autoZero"/>
        <c:auto val="1"/>
        <c:lblAlgn val="ctr"/>
        <c:lblOffset val="100"/>
        <c:noMultiLvlLbl val="0"/>
      </c:catAx>
      <c:valAx>
        <c:axId val="13531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4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Retrofit Major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Comparison'!$B$27</c:f>
              <c:strCache>
                <c:ptCount val="1"/>
                <c:pt idx="0">
                  <c:v>Navrangpura (GJ)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Comparison'!$A$28:$A$32</c:f>
              <c:strCache>
                <c:ptCount val="5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  <c:pt idx="4">
                  <c:v>Heating</c:v>
                </c:pt>
              </c:strCache>
            </c:strRef>
          </c:cat>
          <c:val>
            <c:numRef>
              <c:f>'Overall Comparison'!$B$28:$B$32</c:f>
              <c:numCache>
                <c:formatCode>General</c:formatCode>
                <c:ptCount val="5"/>
                <c:pt idx="0">
                  <c:v>94682.4</c:v>
                </c:pt>
                <c:pt idx="1">
                  <c:v>130128.51</c:v>
                </c:pt>
                <c:pt idx="2">
                  <c:v>130128.51</c:v>
                </c:pt>
                <c:pt idx="3">
                  <c:v>2584.31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7-4DFC-8F19-3C53597E0836}"/>
            </c:ext>
          </c:extLst>
        </c:ser>
        <c:ser>
          <c:idx val="1"/>
          <c:order val="1"/>
          <c:tx>
            <c:strRef>
              <c:f>'Overall Comparison'!$C$27</c:f>
              <c:strCache>
                <c:ptCount val="1"/>
                <c:pt idx="0">
                  <c:v>Thaltej (GJ)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Comparison'!$A$28:$A$32</c:f>
              <c:strCache>
                <c:ptCount val="5"/>
                <c:pt idx="0">
                  <c:v>Cooling</c:v>
                </c:pt>
                <c:pt idx="1">
                  <c:v>Interior Lighting</c:v>
                </c:pt>
                <c:pt idx="2">
                  <c:v>Interior Equipment</c:v>
                </c:pt>
                <c:pt idx="3">
                  <c:v>Fans</c:v>
                </c:pt>
                <c:pt idx="4">
                  <c:v>Heating</c:v>
                </c:pt>
              </c:strCache>
            </c:strRef>
          </c:cat>
          <c:val>
            <c:numRef>
              <c:f>'Overall Comparison'!$C$28:$C$32</c:f>
              <c:numCache>
                <c:formatCode>General</c:formatCode>
                <c:ptCount val="5"/>
                <c:pt idx="0">
                  <c:v>158091.95000000001</c:v>
                </c:pt>
                <c:pt idx="1">
                  <c:v>187818.5</c:v>
                </c:pt>
                <c:pt idx="2">
                  <c:v>187818.5</c:v>
                </c:pt>
                <c:pt idx="3">
                  <c:v>4239.92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7-4DFC-8F19-3C53597E08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9175631"/>
        <c:axId val="1353186159"/>
      </c:barChart>
      <c:catAx>
        <c:axId val="144917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86159"/>
        <c:crosses val="autoZero"/>
        <c:auto val="1"/>
        <c:lblAlgn val="ctr"/>
        <c:lblOffset val="100"/>
        <c:noMultiLvlLbl val="0"/>
      </c:catAx>
      <c:valAx>
        <c:axId val="13531861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Reduction Due to Retrofit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Comparison'!$F$27</c:f>
              <c:strCache>
                <c:ptCount val="1"/>
                <c:pt idx="0">
                  <c:v>Navrangpura (%)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Comparison'!$E$28:$E$34</c:f>
              <c:strCache>
                <c:ptCount val="7"/>
                <c:pt idx="0">
                  <c:v>Total Site Energy</c:v>
                </c:pt>
                <c:pt idx="1">
                  <c:v>Total Source Energy</c:v>
                </c:pt>
                <c:pt idx="2">
                  <c:v>Cooling Energy</c:v>
                </c:pt>
                <c:pt idx="3">
                  <c:v>Interior Lighting</c:v>
                </c:pt>
                <c:pt idx="4">
                  <c:v>Fans</c:v>
                </c:pt>
                <c:pt idx="5">
                  <c:v>Site Energy Intensity</c:v>
                </c:pt>
                <c:pt idx="6">
                  <c:v>Source Energy Intensity</c:v>
                </c:pt>
              </c:strCache>
            </c:strRef>
          </c:cat>
          <c:val>
            <c:numRef>
              <c:f>'Overall Comparison'!$F$28:$F$34</c:f>
              <c:numCache>
                <c:formatCode>General</c:formatCode>
                <c:ptCount val="7"/>
                <c:pt idx="0">
                  <c:v>17.5</c:v>
                </c:pt>
                <c:pt idx="1">
                  <c:v>17.510000000000002</c:v>
                </c:pt>
                <c:pt idx="2">
                  <c:v>32.17</c:v>
                </c:pt>
                <c:pt idx="3">
                  <c:v>16.670000000000002</c:v>
                </c:pt>
                <c:pt idx="4">
                  <c:v>18.649999999999999</c:v>
                </c:pt>
                <c:pt idx="5">
                  <c:v>17.510000000000002</c:v>
                </c:pt>
                <c:pt idx="6">
                  <c:v>17.510000000000002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7-46FA-9C61-BDD01262BD7F}"/>
            </c:ext>
          </c:extLst>
        </c:ser>
        <c:ser>
          <c:idx val="1"/>
          <c:order val="1"/>
          <c:tx>
            <c:strRef>
              <c:f>'Overall Comparison'!$G$27</c:f>
              <c:strCache>
                <c:ptCount val="1"/>
                <c:pt idx="0">
                  <c:v>Thaltej (%)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Comparison'!$E$28:$E$34</c:f>
              <c:strCache>
                <c:ptCount val="7"/>
                <c:pt idx="0">
                  <c:v>Total Site Energy</c:v>
                </c:pt>
                <c:pt idx="1">
                  <c:v>Total Source Energy</c:v>
                </c:pt>
                <c:pt idx="2">
                  <c:v>Cooling Energy</c:v>
                </c:pt>
                <c:pt idx="3">
                  <c:v>Interior Lighting</c:v>
                </c:pt>
                <c:pt idx="4">
                  <c:v>Fans</c:v>
                </c:pt>
                <c:pt idx="5">
                  <c:v>Site Energy Intensity</c:v>
                </c:pt>
                <c:pt idx="6">
                  <c:v>Source Energy Intensity</c:v>
                </c:pt>
              </c:strCache>
            </c:strRef>
          </c:cat>
          <c:val>
            <c:numRef>
              <c:f>'Overall Comparison'!$G$28:$G$34</c:f>
              <c:numCache>
                <c:formatCode>General</c:formatCode>
                <c:ptCount val="7"/>
                <c:pt idx="0">
                  <c:v>17.45</c:v>
                </c:pt>
                <c:pt idx="1">
                  <c:v>17.440000000000001</c:v>
                </c:pt>
                <c:pt idx="2">
                  <c:v>32.200000000000003</c:v>
                </c:pt>
                <c:pt idx="3">
                  <c:v>16.670000000000002</c:v>
                </c:pt>
                <c:pt idx="4">
                  <c:v>19.670000000000002</c:v>
                </c:pt>
                <c:pt idx="5">
                  <c:v>17.440000000000001</c:v>
                </c:pt>
                <c:pt idx="6">
                  <c:v>17.45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7-46FA-9C61-BDD01262BD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9198367"/>
        <c:axId val="1353230799"/>
      </c:barChart>
      <c:catAx>
        <c:axId val="144919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30799"/>
        <c:crosses val="autoZero"/>
        <c:auto val="1"/>
        <c:lblAlgn val="ctr"/>
        <c:lblOffset val="100"/>
        <c:noMultiLvlLbl val="0"/>
      </c:catAx>
      <c:valAx>
        <c:axId val="1353230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Energy Intensity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Comparison'!$J$27</c:f>
              <c:strCache>
                <c:ptCount val="1"/>
                <c:pt idx="0">
                  <c:v>Navrangpura Baseline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Comparison'!$I$28:$I$29</c:f>
              <c:strCache>
                <c:ptCount val="2"/>
                <c:pt idx="0">
                  <c:v>Site Energy Intensity (MJ/m²)</c:v>
                </c:pt>
                <c:pt idx="1">
                  <c:v>Source Energy Intensity (MJ/m²)</c:v>
                </c:pt>
              </c:strCache>
            </c:strRef>
          </c:cat>
          <c:val>
            <c:numRef>
              <c:f>'Overall Comparison'!$J$28:$J$29</c:f>
              <c:numCache>
                <c:formatCode>General</c:formatCode>
                <c:ptCount val="2"/>
                <c:pt idx="0">
                  <c:v>519.89</c:v>
                </c:pt>
                <c:pt idx="1">
                  <c:v>1646.49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2-4A01-91D6-A98D16A6F90F}"/>
            </c:ext>
          </c:extLst>
        </c:ser>
        <c:ser>
          <c:idx val="1"/>
          <c:order val="1"/>
          <c:tx>
            <c:strRef>
              <c:f>'Overall Comparison'!$K$27</c:f>
              <c:strCache>
                <c:ptCount val="1"/>
                <c:pt idx="0">
                  <c:v>Navrangpura Retrofit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Comparison'!$I$28:$I$29</c:f>
              <c:strCache>
                <c:ptCount val="2"/>
                <c:pt idx="0">
                  <c:v>Site Energy Intensity (MJ/m²)</c:v>
                </c:pt>
                <c:pt idx="1">
                  <c:v>Source Energy Intensity (MJ/m²)</c:v>
                </c:pt>
              </c:strCache>
            </c:strRef>
          </c:cat>
          <c:val>
            <c:numRef>
              <c:f>'Overall Comparison'!$K$28:$K$29</c:f>
              <c:numCache>
                <c:formatCode>General</c:formatCode>
                <c:ptCount val="2"/>
                <c:pt idx="0">
                  <c:v>428.87</c:v>
                </c:pt>
                <c:pt idx="1">
                  <c:v>1358.14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2-4A01-91D6-A98D16A6F90F}"/>
            </c:ext>
          </c:extLst>
        </c:ser>
        <c:ser>
          <c:idx val="2"/>
          <c:order val="2"/>
          <c:tx>
            <c:strRef>
              <c:f>'Overall Comparison'!$L$27</c:f>
              <c:strCache>
                <c:ptCount val="1"/>
                <c:pt idx="0">
                  <c:v>Thaltej Baseline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Comparison'!$I$28:$I$29</c:f>
              <c:strCache>
                <c:ptCount val="2"/>
                <c:pt idx="0">
                  <c:v>Site Energy Intensity (MJ/m²)</c:v>
                </c:pt>
                <c:pt idx="1">
                  <c:v>Source Energy Intensity (MJ/m²)</c:v>
                </c:pt>
              </c:strCache>
            </c:strRef>
          </c:cat>
          <c:val>
            <c:numRef>
              <c:f>'Overall Comparison'!$L$28:$L$29</c:f>
              <c:numCache>
                <c:formatCode>General</c:formatCode>
                <c:ptCount val="2"/>
                <c:pt idx="0">
                  <c:v>547.08000000000004</c:v>
                </c:pt>
                <c:pt idx="1">
                  <c:v>1732.61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2-4A01-91D6-A98D16A6F90F}"/>
            </c:ext>
          </c:extLst>
        </c:ser>
        <c:ser>
          <c:idx val="3"/>
          <c:order val="3"/>
          <c:tx>
            <c:strRef>
              <c:f>'Overall Comparison'!$M$27</c:f>
              <c:strCache>
                <c:ptCount val="1"/>
                <c:pt idx="0">
                  <c:v>Thaltej Retrofit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Comparison'!$I$28:$I$29</c:f>
              <c:strCache>
                <c:ptCount val="2"/>
                <c:pt idx="0">
                  <c:v>Site Energy Intensity (MJ/m²)</c:v>
                </c:pt>
                <c:pt idx="1">
                  <c:v>Source Energy Intensity (MJ/m²)</c:v>
                </c:pt>
              </c:strCache>
            </c:strRef>
          </c:cat>
          <c:val>
            <c:numRef>
              <c:f>'Overall Comparison'!$M$28:$M$29</c:f>
              <c:numCache>
                <c:formatCode>General</c:formatCode>
                <c:ptCount val="2"/>
                <c:pt idx="0">
                  <c:v>451.64</c:v>
                </c:pt>
                <c:pt idx="1">
                  <c:v>1430.26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2-4A01-91D6-A98D16A6F9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0764175"/>
        <c:axId val="1353172239"/>
      </c:barChart>
      <c:catAx>
        <c:axId val="173076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72239"/>
        <c:crosses val="autoZero"/>
        <c:auto val="1"/>
        <c:lblAlgn val="ctr"/>
        <c:lblOffset val="100"/>
        <c:noMultiLvlLbl val="0"/>
      </c:catAx>
      <c:valAx>
        <c:axId val="1353172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42</xdr:row>
      <xdr:rowOff>179070</xdr:rowOff>
    </xdr:from>
    <xdr:to>
      <xdr:col>2</xdr:col>
      <xdr:colOff>1699260</xdr:colOff>
      <xdr:row>58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EC9F22-BADC-C491-21BE-EE85B7258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63</xdr:row>
      <xdr:rowOff>19050</xdr:rowOff>
    </xdr:from>
    <xdr:to>
      <xdr:col>2</xdr:col>
      <xdr:colOff>1394460</xdr:colOff>
      <xdr:row>79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1F690D-4A92-5DF5-658A-B87FAF5D0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365760</xdr:colOff>
      <xdr:row>19</xdr:row>
      <xdr:rowOff>64770</xdr:rowOff>
    </xdr:from>
    <xdr:to>
      <xdr:col>2</xdr:col>
      <xdr:colOff>2804160</xdr:colOff>
      <xdr:row>35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AFA85C-C27A-8A22-1C28-23C29ABA6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198120</xdr:colOff>
      <xdr:row>84</xdr:row>
      <xdr:rowOff>19050</xdr:rowOff>
    </xdr:from>
    <xdr:to>
      <xdr:col>2</xdr:col>
      <xdr:colOff>457200</xdr:colOff>
      <xdr:row>99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589ECA-B557-A9FE-BA12-95F65AC79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99060</xdr:colOff>
      <xdr:row>87</xdr:row>
      <xdr:rowOff>30480</xdr:rowOff>
    </xdr:from>
    <xdr:to>
      <xdr:col>1</xdr:col>
      <xdr:colOff>1005840</xdr:colOff>
      <xdr:row>90</xdr:row>
      <xdr:rowOff>15240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A4B9DAA-6739-9379-D778-D5EC743AE97D}"/>
            </a:ext>
          </a:extLst>
        </xdr:cNvPr>
        <xdr:cNvCxnSpPr/>
      </xdr:nvCxnSpPr>
      <xdr:spPr>
        <a:xfrm>
          <a:off x="2179320" y="16032480"/>
          <a:ext cx="906780" cy="5334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525780</xdr:colOff>
      <xdr:row>105</xdr:row>
      <xdr:rowOff>41910</xdr:rowOff>
    </xdr:from>
    <xdr:to>
      <xdr:col>2</xdr:col>
      <xdr:colOff>1539240</xdr:colOff>
      <xdr:row>120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5CD5D73-66B9-A2D7-0951-83027DF9C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502920</xdr:colOff>
      <xdr:row>109</xdr:row>
      <xdr:rowOff>15240</xdr:rowOff>
    </xdr:from>
    <xdr:to>
      <xdr:col>1</xdr:col>
      <xdr:colOff>2148840</xdr:colOff>
      <xdr:row>114</xdr:row>
      <xdr:rowOff>45720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5BA2FD9-D8D7-19EF-72C6-96802543318F}"/>
            </a:ext>
          </a:extLst>
        </xdr:cNvPr>
        <xdr:cNvCxnSpPr/>
      </xdr:nvCxnSpPr>
      <xdr:spPr>
        <a:xfrm>
          <a:off x="2583180" y="20093940"/>
          <a:ext cx="1645920" cy="9448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152400</xdr:rowOff>
    </xdr:from>
    <xdr:to>
      <xdr:col>2</xdr:col>
      <xdr:colOff>580123</xdr:colOff>
      <xdr:row>17</xdr:row>
      <xdr:rowOff>23519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31B25-7C56-57E8-9826-39147EE92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1489075</xdr:colOff>
      <xdr:row>4</xdr:row>
      <xdr:rowOff>31750</xdr:rowOff>
    </xdr:from>
    <xdr:to>
      <xdr:col>12</xdr:col>
      <xdr:colOff>1098550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A8C3A0-ADBF-7FC0-87D7-71541BBA1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73024</xdr:colOff>
      <xdr:row>24</xdr:row>
      <xdr:rowOff>196850</xdr:rowOff>
    </xdr:from>
    <xdr:to>
      <xdr:col>2</xdr:col>
      <xdr:colOff>869949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2E4166-B9E5-8EE0-1B5B-195A54BFB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244475</xdr:colOff>
      <xdr:row>40</xdr:row>
      <xdr:rowOff>0</xdr:rowOff>
    </xdr:from>
    <xdr:to>
      <xdr:col>6</xdr:col>
      <xdr:colOff>358775</xdr:colOff>
      <xdr:row>53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228F4A-2954-C0C2-E1ED-AF8DA1301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708024</xdr:colOff>
      <xdr:row>21</xdr:row>
      <xdr:rowOff>171450</xdr:rowOff>
    </xdr:from>
    <xdr:to>
      <xdr:col>7</xdr:col>
      <xdr:colOff>1074011</xdr:colOff>
      <xdr:row>37</xdr:row>
      <xdr:rowOff>109753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BBEA4C-BD93-C4E2-8CF6-462F1CCE7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3</xdr:col>
      <xdr:colOff>425450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655DC-1798-6E0A-862A-AB804F5FF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25400</xdr:rowOff>
    </xdr:from>
    <xdr:to>
      <xdr:col>7</xdr:col>
      <xdr:colOff>665726</xdr:colOff>
      <xdr:row>24</xdr:row>
      <xdr:rowOff>81935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A445F3-99E4-D331-CD64-52C7AB886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219075</xdr:colOff>
      <xdr:row>7</xdr:row>
      <xdr:rowOff>38100</xdr:rowOff>
    </xdr:from>
    <xdr:to>
      <xdr:col>11</xdr:col>
      <xdr:colOff>860322</xdr:colOff>
      <xdr:row>23</xdr:row>
      <xdr:rowOff>153629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5AB274-D8C4-A1D0-5943-3D59810CB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111125</xdr:colOff>
      <xdr:row>32</xdr:row>
      <xdr:rowOff>146050</xdr:rowOff>
    </xdr:from>
    <xdr:to>
      <xdr:col>3</xdr:col>
      <xdr:colOff>491613</xdr:colOff>
      <xdr:row>50</xdr:row>
      <xdr:rowOff>71694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68DEF9-4781-2999-483C-E0281D8D6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921774</xdr:colOff>
      <xdr:row>35</xdr:row>
      <xdr:rowOff>30315</xdr:rowOff>
    </xdr:from>
    <xdr:to>
      <xdr:col>7</xdr:col>
      <xdr:colOff>1249516</xdr:colOff>
      <xdr:row>54</xdr:row>
      <xdr:rowOff>153629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2ED62E-95D5-106C-9532-6C69E809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403225</xdr:colOff>
      <xdr:row>29</xdr:row>
      <xdr:rowOff>165099</xdr:rowOff>
    </xdr:from>
    <xdr:to>
      <xdr:col>12</xdr:col>
      <xdr:colOff>348226</xdr:colOff>
      <xdr:row>48</xdr:row>
      <xdr:rowOff>112661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5C9E44-AE30-79F6-B568-4C580C595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EF28-2196-43A2-B1AF-7D799E6E8AC7}">
  <dimension ref="A1:J123"/>
  <sheetViews>
    <sheetView topLeftCell="A40" workbookViewId="0">
      <selection activeCell="D117" sqref="D117"/>
    </sheetView>
  </sheetViews>
  <sheetFormatPr defaultRowHeight="14.5" x14ac:dyDescent="0.35"/>
  <cols>
    <col min="1" max="1" width="30.36328125" customWidth="1"/>
    <col min="2" max="2" width="32.54296875" customWidth="1"/>
    <col min="3" max="3" width="43.54296875" customWidth="1"/>
    <col min="4" max="4" width="38.6328125" customWidth="1"/>
    <col min="6" max="6" width="19.1796875" customWidth="1"/>
    <col min="7" max="7" width="20.08984375" customWidth="1"/>
    <col min="8" max="8" width="19.81640625" customWidth="1"/>
    <col min="9" max="9" width="31.54296875" customWidth="1"/>
    <col min="10" max="10" width="23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H1" s="8" t="s">
        <v>0</v>
      </c>
      <c r="I1" s="10" t="s">
        <v>20</v>
      </c>
    </row>
    <row r="2" spans="1:10" x14ac:dyDescent="0.35">
      <c r="A2" s="1" t="s">
        <v>4</v>
      </c>
      <c r="B2" s="1">
        <v>359939.78</v>
      </c>
      <c r="C2" s="1">
        <v>436.15</v>
      </c>
      <c r="D2" s="1">
        <v>872.3</v>
      </c>
      <c r="H2" s="2" t="s">
        <v>19</v>
      </c>
      <c r="I2" s="13">
        <v>139588</v>
      </c>
    </row>
    <row r="3" spans="1:10" ht="15" thickBot="1" x14ac:dyDescent="0.4">
      <c r="A3" s="1" t="s">
        <v>5</v>
      </c>
      <c r="B3" s="1">
        <v>1139929.29</v>
      </c>
      <c r="C3" s="1">
        <v>1381.28</v>
      </c>
      <c r="D3" s="1">
        <v>2762.56</v>
      </c>
      <c r="F3" t="s">
        <v>6</v>
      </c>
      <c r="G3" s="1">
        <v>277.7</v>
      </c>
      <c r="H3" s="5" t="s">
        <v>18</v>
      </c>
      <c r="I3" s="14">
        <v>97069</v>
      </c>
    </row>
    <row r="4" spans="1:10" ht="15" thickBot="1" x14ac:dyDescent="0.4">
      <c r="F4" t="s">
        <v>12</v>
      </c>
      <c r="G4">
        <v>3.6</v>
      </c>
    </row>
    <row r="5" spans="1:10" x14ac:dyDescent="0.35">
      <c r="A5" s="1" t="s">
        <v>0</v>
      </c>
      <c r="B5" s="1" t="s">
        <v>1</v>
      </c>
      <c r="C5" s="1" t="s">
        <v>2</v>
      </c>
      <c r="D5" s="1" t="s">
        <v>3</v>
      </c>
      <c r="F5" s="1" t="s">
        <v>24</v>
      </c>
      <c r="G5">
        <v>0.71599999999999997</v>
      </c>
      <c r="H5" s="8" t="s">
        <v>0</v>
      </c>
      <c r="I5" s="9" t="s">
        <v>22</v>
      </c>
      <c r="J5" s="10" t="s">
        <v>23</v>
      </c>
    </row>
    <row r="6" spans="1:10" x14ac:dyDescent="0.35">
      <c r="A6" s="1" t="s">
        <v>4</v>
      </c>
      <c r="B6" s="1">
        <v>429048.28</v>
      </c>
      <c r="C6" s="1">
        <v>519.89</v>
      </c>
      <c r="D6" s="1">
        <v>1039.78</v>
      </c>
      <c r="H6" s="2" t="s">
        <v>4</v>
      </c>
      <c r="I6" s="3">
        <f>B2*G3</f>
        <v>99955276.906000003</v>
      </c>
      <c r="J6" s="4">
        <f>B6*G3</f>
        <v>119146707.35600001</v>
      </c>
    </row>
    <row r="7" spans="1:10" ht="15" thickBot="1" x14ac:dyDescent="0.4">
      <c r="A7" s="1" t="s">
        <v>5</v>
      </c>
      <c r="B7" s="1">
        <v>1358795.89</v>
      </c>
      <c r="C7" s="1">
        <v>1646.49</v>
      </c>
      <c r="D7" s="1">
        <v>3292.97</v>
      </c>
      <c r="H7" s="5"/>
      <c r="I7" s="6"/>
      <c r="J7" s="7"/>
    </row>
    <row r="8" spans="1:10" x14ac:dyDescent="0.35">
      <c r="A8" s="1"/>
      <c r="B8" s="1"/>
      <c r="C8" s="1"/>
      <c r="D8" s="1"/>
    </row>
    <row r="9" spans="1:10" x14ac:dyDescent="0.35">
      <c r="A9" s="18" t="s">
        <v>17</v>
      </c>
      <c r="B9" s="18"/>
      <c r="C9" s="18"/>
      <c r="D9" s="18"/>
      <c r="E9" s="18"/>
      <c r="F9" s="18"/>
      <c r="G9" s="18"/>
    </row>
    <row r="10" spans="1:10" x14ac:dyDescent="0.35">
      <c r="A10" s="1"/>
      <c r="B10" s="1"/>
      <c r="C10" s="1"/>
      <c r="D10" s="1"/>
    </row>
    <row r="11" spans="1:10" x14ac:dyDescent="0.35">
      <c r="A11" s="12" t="s">
        <v>0</v>
      </c>
      <c r="B11" s="12" t="s">
        <v>13</v>
      </c>
      <c r="C11" s="1"/>
      <c r="D11" s="1"/>
    </row>
    <row r="12" spans="1:10" x14ac:dyDescent="0.35">
      <c r="A12" s="12" t="s">
        <v>14</v>
      </c>
      <c r="B12" s="12">
        <v>825269.59</v>
      </c>
      <c r="C12" s="1"/>
      <c r="D12" s="1"/>
    </row>
    <row r="13" spans="1:10" x14ac:dyDescent="0.35">
      <c r="A13" s="12" t="s">
        <v>15</v>
      </c>
      <c r="B13" s="12">
        <v>412634.79</v>
      </c>
      <c r="C13" s="1"/>
      <c r="D13" s="1"/>
    </row>
    <row r="14" spans="1:10" x14ac:dyDescent="0.35">
      <c r="A14" s="12" t="s">
        <v>16</v>
      </c>
      <c r="B14" s="12">
        <v>412634.79</v>
      </c>
      <c r="C14" s="1"/>
      <c r="D14" s="1"/>
    </row>
    <row r="15" spans="1:10" ht="15" thickBot="1" x14ac:dyDescent="0.4"/>
    <row r="16" spans="1:10" x14ac:dyDescent="0.35">
      <c r="A16" s="8" t="s">
        <v>0</v>
      </c>
      <c r="B16" s="9" t="s">
        <v>7</v>
      </c>
      <c r="C16" s="10" t="s">
        <v>8</v>
      </c>
    </row>
    <row r="17" spans="1:3" x14ac:dyDescent="0.35">
      <c r="A17" s="2" t="s">
        <v>4</v>
      </c>
      <c r="B17" s="3">
        <f>B2/3600</f>
        <v>99.983272222222226</v>
      </c>
      <c r="C17" s="4">
        <f>B6/3600</f>
        <v>119.18007777777778</v>
      </c>
    </row>
    <row r="18" spans="1:3" ht="15" thickBot="1" x14ac:dyDescent="0.4">
      <c r="A18" s="5" t="s">
        <v>5</v>
      </c>
      <c r="B18" s="6">
        <f>B3/3600</f>
        <v>316.64702499999999</v>
      </c>
      <c r="C18" s="7">
        <f>B7/3600</f>
        <v>377.44330277777777</v>
      </c>
    </row>
    <row r="19" spans="1:3" x14ac:dyDescent="0.35">
      <c r="A19" s="1"/>
      <c r="B19" s="1"/>
      <c r="C19" s="1"/>
    </row>
    <row r="37" spans="1:3" ht="18.5" x14ac:dyDescent="0.45">
      <c r="A37" s="11" t="s">
        <v>9</v>
      </c>
    </row>
    <row r="38" spans="1:3" ht="15" thickBot="1" x14ac:dyDescent="0.4"/>
    <row r="39" spans="1:3" x14ac:dyDescent="0.35">
      <c r="A39" s="8" t="s">
        <v>0</v>
      </c>
      <c r="B39" s="9" t="s">
        <v>10</v>
      </c>
      <c r="C39" s="10" t="s">
        <v>11</v>
      </c>
    </row>
    <row r="40" spans="1:3" x14ac:dyDescent="0.35">
      <c r="A40" s="2" t="s">
        <v>4</v>
      </c>
      <c r="B40" s="3">
        <f>C2/$G$4</f>
        <v>121.15277777777777</v>
      </c>
      <c r="C40" s="4">
        <f>C6/$G$4</f>
        <v>144.41388888888889</v>
      </c>
    </row>
    <row r="41" spans="1:3" ht="15" thickBot="1" x14ac:dyDescent="0.4">
      <c r="A41" s="5" t="s">
        <v>5</v>
      </c>
      <c r="B41" s="6">
        <f>C3/$G$4</f>
        <v>383.68888888888887</v>
      </c>
      <c r="C41" s="7">
        <f>C7/$G$4</f>
        <v>457.35833333333335</v>
      </c>
    </row>
    <row r="59" spans="1:3" ht="15" thickBot="1" x14ac:dyDescent="0.4"/>
    <row r="60" spans="1:3" x14ac:dyDescent="0.35">
      <c r="A60" s="8" t="s">
        <v>0</v>
      </c>
      <c r="B60" s="9" t="s">
        <v>10</v>
      </c>
      <c r="C60" s="10" t="s">
        <v>11</v>
      </c>
    </row>
    <row r="61" spans="1:3" x14ac:dyDescent="0.35">
      <c r="A61" s="2" t="s">
        <v>4</v>
      </c>
      <c r="B61" s="3">
        <f>D2/$G$4</f>
        <v>242.30555555555554</v>
      </c>
      <c r="C61" s="4">
        <f>D6/$G$4</f>
        <v>288.82777777777778</v>
      </c>
    </row>
    <row r="62" spans="1:3" ht="15" thickBot="1" x14ac:dyDescent="0.4">
      <c r="A62" s="5" t="s">
        <v>5</v>
      </c>
      <c r="B62" s="6">
        <f>D3/$G$4</f>
        <v>767.37777777777774</v>
      </c>
      <c r="C62" s="7">
        <f>D7/$G$4</f>
        <v>914.71388888888885</v>
      </c>
    </row>
    <row r="81" spans="1:2" x14ac:dyDescent="0.35">
      <c r="A81" s="15" t="s">
        <v>0</v>
      </c>
      <c r="B81" s="15" t="s">
        <v>21</v>
      </c>
    </row>
    <row r="82" spans="1:2" x14ac:dyDescent="0.35">
      <c r="A82" s="1" t="s">
        <v>19</v>
      </c>
      <c r="B82" s="3">
        <f>I2/3600</f>
        <v>38.774444444444441</v>
      </c>
    </row>
    <row r="83" spans="1:2" x14ac:dyDescent="0.35">
      <c r="A83" s="1" t="s">
        <v>18</v>
      </c>
      <c r="B83" s="3">
        <f>I3/3600</f>
        <v>26.96361111111111</v>
      </c>
    </row>
    <row r="101" spans="1:3" ht="16" x14ac:dyDescent="0.4">
      <c r="A101" s="16" t="s">
        <v>26</v>
      </c>
    </row>
    <row r="102" spans="1:3" ht="15" thickBot="1" x14ac:dyDescent="0.4"/>
    <row r="103" spans="1:3" x14ac:dyDescent="0.35">
      <c r="A103" s="8" t="s">
        <v>0</v>
      </c>
      <c r="B103" s="9" t="s">
        <v>19</v>
      </c>
      <c r="C103" s="10" t="s">
        <v>18</v>
      </c>
    </row>
    <row r="104" spans="1:3" ht="15" thickBot="1" x14ac:dyDescent="0.4">
      <c r="A104" s="5" t="s">
        <v>25</v>
      </c>
      <c r="B104" s="6">
        <f>J6*G5/1000</f>
        <v>85309.042466896004</v>
      </c>
      <c r="C104" s="7">
        <f>I6*G5/1000</f>
        <v>71567.978264696008</v>
      </c>
    </row>
    <row r="122" spans="1:5" ht="16" x14ac:dyDescent="0.4">
      <c r="A122" s="17" t="s">
        <v>27</v>
      </c>
      <c r="B122" s="16"/>
      <c r="C122" s="16"/>
      <c r="D122" s="16"/>
      <c r="E122" s="16"/>
    </row>
    <row r="123" spans="1:5" ht="16" x14ac:dyDescent="0.4">
      <c r="B123" s="16"/>
    </row>
  </sheetData>
  <mergeCells count="1">
    <mergeCell ref="A9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5466-3C17-4ED6-B4D0-58CF66A9D028}">
  <dimension ref="A1:M44"/>
  <sheetViews>
    <sheetView zoomScale="81" workbookViewId="0">
      <selection activeCell="S14" sqref="S14"/>
    </sheetView>
  </sheetViews>
  <sheetFormatPr defaultRowHeight="14.5" x14ac:dyDescent="0.35"/>
  <cols>
    <col min="1" max="1" width="35.26953125" customWidth="1"/>
    <col min="2" max="2" width="21.6328125" customWidth="1"/>
    <col min="3" max="3" width="19.1796875" customWidth="1"/>
    <col min="4" max="4" width="10.6328125" customWidth="1"/>
    <col min="5" max="5" width="25.7265625" customWidth="1"/>
    <col min="6" max="6" width="27.453125" customWidth="1"/>
    <col min="7" max="7" width="9" customWidth="1"/>
    <col min="8" max="8" width="23" customWidth="1"/>
    <col min="9" max="9" width="21.453125" customWidth="1"/>
    <col min="10" max="10" width="8.54296875" customWidth="1"/>
    <col min="11" max="11" width="27.81640625" customWidth="1"/>
    <col min="12" max="12" width="25.26953125" customWidth="1"/>
    <col min="13" max="13" width="25.08984375" customWidth="1"/>
  </cols>
  <sheetData>
    <row r="1" spans="1:13" ht="18.5" x14ac:dyDescent="0.45">
      <c r="A1" s="23" t="s">
        <v>42</v>
      </c>
      <c r="E1" s="24" t="s">
        <v>34</v>
      </c>
      <c r="H1" t="s">
        <v>48</v>
      </c>
      <c r="K1" s="24" t="s">
        <v>33</v>
      </c>
    </row>
    <row r="2" spans="1:13" ht="16.5" customHeight="1" x14ac:dyDescent="0.35">
      <c r="A2" s="19" t="s">
        <v>41</v>
      </c>
      <c r="B2" s="20" t="s">
        <v>28</v>
      </c>
      <c r="C2" s="20" t="s">
        <v>29</v>
      </c>
      <c r="E2" s="19" t="s">
        <v>41</v>
      </c>
      <c r="F2" s="20" t="s">
        <v>46</v>
      </c>
      <c r="H2" s="19" t="s">
        <v>41</v>
      </c>
      <c r="I2" s="20" t="s">
        <v>47</v>
      </c>
      <c r="K2" s="19" t="s">
        <v>41</v>
      </c>
      <c r="L2" s="20" t="s">
        <v>44</v>
      </c>
      <c r="M2" s="20" t="s">
        <v>50</v>
      </c>
    </row>
    <row r="3" spans="1:13" x14ac:dyDescent="0.35">
      <c r="A3" s="21" t="s">
        <v>30</v>
      </c>
      <c r="B3" s="22">
        <v>651649.56000000006</v>
      </c>
      <c r="C3" s="22">
        <v>537968.87</v>
      </c>
      <c r="E3" s="21" t="s">
        <v>28</v>
      </c>
      <c r="F3" s="22">
        <v>181013767</v>
      </c>
      <c r="H3" s="21" t="s">
        <v>28</v>
      </c>
      <c r="I3" s="22">
        <v>181.01400000000001</v>
      </c>
      <c r="K3" s="21" t="s">
        <v>45</v>
      </c>
      <c r="L3" s="22">
        <v>233170.63</v>
      </c>
      <c r="M3" s="22">
        <v>158091.95000000001</v>
      </c>
    </row>
    <row r="4" spans="1:13" x14ac:dyDescent="0.35">
      <c r="A4" s="21" t="s">
        <v>31</v>
      </c>
      <c r="B4" s="22">
        <v>2063774.14</v>
      </c>
      <c r="C4" s="22">
        <v>1703747.42</v>
      </c>
      <c r="E4" s="21" t="s">
        <v>29</v>
      </c>
      <c r="F4" s="22">
        <v>149435797</v>
      </c>
      <c r="H4" s="21" t="s">
        <v>29</v>
      </c>
      <c r="I4" s="22">
        <v>149.43600000000001</v>
      </c>
    </row>
    <row r="5" spans="1:13" ht="18" customHeight="1" x14ac:dyDescent="0.35">
      <c r="A5" s="25"/>
      <c r="B5" s="26"/>
      <c r="C5" s="26"/>
    </row>
    <row r="6" spans="1:13" ht="19.5" customHeight="1" x14ac:dyDescent="0.4">
      <c r="E6" s="24" t="s">
        <v>35</v>
      </c>
    </row>
    <row r="7" spans="1:13" ht="17" customHeight="1" x14ac:dyDescent="0.35">
      <c r="E7" s="19" t="s">
        <v>41</v>
      </c>
      <c r="F7" s="20" t="s">
        <v>46</v>
      </c>
      <c r="H7" s="19" t="s">
        <v>41</v>
      </c>
      <c r="I7" s="20" t="s">
        <v>47</v>
      </c>
    </row>
    <row r="8" spans="1:13" ht="15" customHeight="1" x14ac:dyDescent="0.35">
      <c r="E8" s="21" t="s">
        <v>28</v>
      </c>
      <c r="F8" s="22">
        <v>573270344</v>
      </c>
      <c r="H8" s="21" t="s">
        <v>28</v>
      </c>
      <c r="I8" s="22">
        <v>573.27</v>
      </c>
    </row>
    <row r="9" spans="1:13" x14ac:dyDescent="0.35">
      <c r="E9" s="21" t="s">
        <v>29</v>
      </c>
      <c r="F9" s="22">
        <v>473263172</v>
      </c>
      <c r="H9" s="21" t="s">
        <v>29</v>
      </c>
      <c r="I9" s="22">
        <v>473.26299999999998</v>
      </c>
    </row>
    <row r="10" spans="1:13" x14ac:dyDescent="0.35">
      <c r="F10" s="25"/>
    </row>
    <row r="13" spans="1:13" ht="18.5" x14ac:dyDescent="0.45">
      <c r="E13" s="23" t="s">
        <v>52</v>
      </c>
      <c r="F13" s="26"/>
    </row>
    <row r="14" spans="1:13" x14ac:dyDescent="0.35">
      <c r="E14" s="19" t="s">
        <v>41</v>
      </c>
      <c r="F14" s="20" t="s">
        <v>53</v>
      </c>
    </row>
    <row r="15" spans="1:13" x14ac:dyDescent="0.35">
      <c r="E15" s="21" t="s">
        <v>4</v>
      </c>
      <c r="F15" s="20">
        <v>17.45</v>
      </c>
    </row>
    <row r="16" spans="1:13" ht="29" customHeight="1" x14ac:dyDescent="0.35">
      <c r="E16" s="21" t="s">
        <v>5</v>
      </c>
      <c r="F16" s="20">
        <v>17.440000000000001</v>
      </c>
    </row>
    <row r="17" spans="1:12" ht="16" x14ac:dyDescent="0.4">
      <c r="E17" s="21" t="s">
        <v>45</v>
      </c>
      <c r="F17" s="20">
        <v>32.200000000000003</v>
      </c>
      <c r="K17" s="24" t="s">
        <v>57</v>
      </c>
    </row>
    <row r="18" spans="1:12" x14ac:dyDescent="0.35">
      <c r="E18" s="21" t="s">
        <v>38</v>
      </c>
      <c r="F18" s="20">
        <v>16.670000000000002</v>
      </c>
      <c r="K18" s="19" t="s">
        <v>41</v>
      </c>
      <c r="L18" s="20" t="s">
        <v>43</v>
      </c>
    </row>
    <row r="19" spans="1:12" ht="18.5" x14ac:dyDescent="0.45">
      <c r="A19" s="23" t="s">
        <v>49</v>
      </c>
      <c r="B19" s="26"/>
      <c r="C19" s="26"/>
      <c r="E19" s="21" t="s">
        <v>40</v>
      </c>
      <c r="F19" s="20">
        <v>19.670000000000002</v>
      </c>
      <c r="K19" s="21" t="s">
        <v>14</v>
      </c>
      <c r="L19" s="22">
        <v>1191137.1299999999</v>
      </c>
    </row>
    <row r="20" spans="1:12" x14ac:dyDescent="0.35">
      <c r="A20" s="19" t="s">
        <v>36</v>
      </c>
      <c r="B20" s="20" t="s">
        <v>44</v>
      </c>
      <c r="C20" s="20" t="s">
        <v>50</v>
      </c>
      <c r="E20" s="21" t="s">
        <v>54</v>
      </c>
      <c r="F20" s="20">
        <v>17.440000000000001</v>
      </c>
      <c r="K20" s="21" t="s">
        <v>15</v>
      </c>
      <c r="L20" s="22">
        <v>595568.56999999995</v>
      </c>
    </row>
    <row r="21" spans="1:12" ht="29" x14ac:dyDescent="0.35">
      <c r="A21" s="21" t="s">
        <v>37</v>
      </c>
      <c r="B21" s="22">
        <v>233170.63</v>
      </c>
      <c r="C21" s="22">
        <v>158091.95000000001</v>
      </c>
      <c r="E21" s="21" t="s">
        <v>55</v>
      </c>
      <c r="F21" s="20">
        <v>17.440000000000001</v>
      </c>
      <c r="K21" s="21" t="s">
        <v>16</v>
      </c>
      <c r="L21" s="22">
        <v>595568.56999999995</v>
      </c>
    </row>
    <row r="22" spans="1:12" x14ac:dyDescent="0.35">
      <c r="A22" s="21" t="s">
        <v>38</v>
      </c>
      <c r="B22" s="22">
        <v>225382.2</v>
      </c>
      <c r="C22" s="22">
        <v>187818.5</v>
      </c>
    </row>
    <row r="23" spans="1:12" ht="14" customHeight="1" x14ac:dyDescent="0.35">
      <c r="A23" s="21" t="s">
        <v>39</v>
      </c>
      <c r="B23" s="22">
        <v>187818.5</v>
      </c>
      <c r="C23" s="22">
        <v>187818.5</v>
      </c>
      <c r="D23" s="27"/>
    </row>
    <row r="24" spans="1:12" x14ac:dyDescent="0.35">
      <c r="A24" s="21" t="s">
        <v>40</v>
      </c>
      <c r="B24" s="22">
        <v>5278.22</v>
      </c>
      <c r="C24" s="22">
        <v>4239.92</v>
      </c>
      <c r="D24" s="27"/>
      <c r="E24" s="25"/>
      <c r="F24" s="26"/>
      <c r="H24" s="27"/>
    </row>
    <row r="25" spans="1:12" ht="17.5" customHeight="1" x14ac:dyDescent="0.35">
      <c r="A25" s="25"/>
      <c r="B25" s="26"/>
      <c r="D25" s="27"/>
      <c r="H25" s="26"/>
    </row>
    <row r="26" spans="1:12" ht="17" customHeight="1" x14ac:dyDescent="0.35">
      <c r="D26" s="27"/>
      <c r="H26" s="26"/>
    </row>
    <row r="27" spans="1:12" ht="19" customHeight="1" x14ac:dyDescent="0.35">
      <c r="H27" s="26"/>
    </row>
    <row r="30" spans="1:12" x14ac:dyDescent="0.35">
      <c r="G30" s="27"/>
    </row>
    <row r="31" spans="1:12" x14ac:dyDescent="0.35">
      <c r="G31" s="26"/>
    </row>
    <row r="32" spans="1:12" x14ac:dyDescent="0.35">
      <c r="G32" s="26"/>
    </row>
    <row r="33" spans="1:7" x14ac:dyDescent="0.35">
      <c r="G33" s="26"/>
    </row>
    <row r="41" spans="1:7" ht="18.5" x14ac:dyDescent="0.45">
      <c r="A41" s="23" t="s">
        <v>56</v>
      </c>
    </row>
    <row r="42" spans="1:7" x14ac:dyDescent="0.35">
      <c r="A42" s="19" t="s">
        <v>41</v>
      </c>
      <c r="B42" s="20" t="s">
        <v>28</v>
      </c>
      <c r="C42" s="20" t="s">
        <v>29</v>
      </c>
    </row>
    <row r="43" spans="1:7" x14ac:dyDescent="0.35">
      <c r="A43" s="21" t="s">
        <v>32</v>
      </c>
      <c r="B43" s="22">
        <v>547.08000000000004</v>
      </c>
      <c r="C43" s="22">
        <v>451.64</v>
      </c>
    </row>
    <row r="44" spans="1:7" ht="29" x14ac:dyDescent="0.35">
      <c r="A44" s="21" t="s">
        <v>51</v>
      </c>
      <c r="B44" s="22">
        <v>1094.1600000000001</v>
      </c>
      <c r="C44" s="22">
        <v>903.29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9409-0A32-4DFC-8F2E-8304FA03A182}">
  <dimension ref="A1:M34"/>
  <sheetViews>
    <sheetView tabSelected="1" zoomScale="62" workbookViewId="0">
      <selection activeCell="J53" sqref="J53"/>
    </sheetView>
  </sheetViews>
  <sheetFormatPr defaultRowHeight="14.5" x14ac:dyDescent="0.35"/>
  <cols>
    <col min="1" max="1" width="34.90625" customWidth="1"/>
    <col min="2" max="2" width="17.81640625" customWidth="1"/>
    <col min="3" max="3" width="12.1796875" customWidth="1"/>
    <col min="4" max="4" width="23.6328125" customWidth="1"/>
    <col min="5" max="5" width="30.08984375" customWidth="1"/>
    <col min="6" max="6" width="15.90625" customWidth="1"/>
    <col min="7" max="7" width="17.1796875" customWidth="1"/>
    <col min="8" max="8" width="20.1796875" customWidth="1"/>
    <col min="9" max="9" width="28.36328125" customWidth="1"/>
    <col min="10" max="10" width="19.81640625" customWidth="1"/>
    <col min="11" max="11" width="21.90625" customWidth="1"/>
    <col min="12" max="12" width="17.26953125" customWidth="1"/>
    <col min="13" max="13" width="19.26953125" customWidth="1"/>
  </cols>
  <sheetData>
    <row r="1" spans="1:11" ht="16" x14ac:dyDescent="0.4">
      <c r="A1" s="24" t="s">
        <v>58</v>
      </c>
      <c r="E1" s="24" t="s">
        <v>65</v>
      </c>
      <c r="I1" s="24" t="s">
        <v>69</v>
      </c>
    </row>
    <row r="2" spans="1:11" ht="15.5" customHeight="1" x14ac:dyDescent="0.35">
      <c r="A2" s="19" t="s">
        <v>41</v>
      </c>
      <c r="B2" s="20" t="s">
        <v>59</v>
      </c>
      <c r="C2" s="20" t="s">
        <v>60</v>
      </c>
      <c r="E2" s="19" t="s">
        <v>36</v>
      </c>
      <c r="F2" s="20" t="s">
        <v>66</v>
      </c>
      <c r="G2" s="20" t="s">
        <v>67</v>
      </c>
      <c r="I2" s="19" t="s">
        <v>41</v>
      </c>
      <c r="J2" s="20" t="s">
        <v>59</v>
      </c>
      <c r="K2" s="20" t="s">
        <v>60</v>
      </c>
    </row>
    <row r="3" spans="1:11" x14ac:dyDescent="0.35">
      <c r="A3" s="21" t="s">
        <v>61</v>
      </c>
      <c r="B3" s="22">
        <v>825269.59</v>
      </c>
      <c r="C3" s="22">
        <v>1191137.1299999999</v>
      </c>
      <c r="E3" s="21" t="s">
        <v>37</v>
      </c>
      <c r="F3" s="22">
        <v>139588.6</v>
      </c>
      <c r="G3" s="22">
        <v>233170.63</v>
      </c>
      <c r="I3" s="21" t="s">
        <v>30</v>
      </c>
      <c r="J3" s="22">
        <v>353949.73</v>
      </c>
      <c r="K3" s="22">
        <v>537968.87</v>
      </c>
    </row>
    <row r="4" spans="1:11" x14ac:dyDescent="0.35">
      <c r="A4" s="21" t="s">
        <v>62</v>
      </c>
      <c r="B4" s="22">
        <v>412634.79</v>
      </c>
      <c r="C4" s="22">
        <v>595568.56999999995</v>
      </c>
      <c r="E4" s="21" t="s">
        <v>38</v>
      </c>
      <c r="F4" s="22">
        <v>156154.21</v>
      </c>
      <c r="G4" s="22">
        <v>225382.2</v>
      </c>
      <c r="I4" s="21" t="s">
        <v>31</v>
      </c>
      <c r="J4" s="22">
        <v>1120806.6499999999</v>
      </c>
      <c r="K4" s="22">
        <v>1703747.42</v>
      </c>
    </row>
    <row r="5" spans="1:11" x14ac:dyDescent="0.35">
      <c r="A5" s="21" t="s">
        <v>30</v>
      </c>
      <c r="B5" s="22">
        <v>429048.28</v>
      </c>
      <c r="C5" s="22">
        <v>651649.56000000006</v>
      </c>
      <c r="E5" s="21" t="s">
        <v>39</v>
      </c>
      <c r="F5" s="22">
        <v>130128.51</v>
      </c>
      <c r="G5" s="22">
        <v>187818.5</v>
      </c>
      <c r="I5" s="21" t="s">
        <v>63</v>
      </c>
      <c r="J5" s="22">
        <v>428.87</v>
      </c>
      <c r="K5" s="22">
        <v>451.64</v>
      </c>
    </row>
    <row r="6" spans="1:11" x14ac:dyDescent="0.35">
      <c r="A6" s="21" t="s">
        <v>31</v>
      </c>
      <c r="B6" s="22">
        <v>1358795.89</v>
      </c>
      <c r="C6" s="22">
        <v>2063774.14</v>
      </c>
      <c r="E6" s="21" t="s">
        <v>40</v>
      </c>
      <c r="F6" s="22">
        <v>3176.96</v>
      </c>
      <c r="G6" s="22">
        <v>5278.22</v>
      </c>
      <c r="I6" s="21" t="s">
        <v>64</v>
      </c>
      <c r="J6" s="22">
        <v>1358.14</v>
      </c>
      <c r="K6" s="22">
        <v>1430.26</v>
      </c>
    </row>
    <row r="7" spans="1:11" x14ac:dyDescent="0.35">
      <c r="A7" s="21" t="s">
        <v>63</v>
      </c>
      <c r="B7" s="22">
        <v>519.89</v>
      </c>
      <c r="C7" s="22">
        <v>547.08000000000004</v>
      </c>
      <c r="E7" s="21" t="s">
        <v>68</v>
      </c>
      <c r="F7" s="22">
        <v>0</v>
      </c>
      <c r="G7" s="22">
        <v>0</v>
      </c>
    </row>
    <row r="8" spans="1:11" x14ac:dyDescent="0.35">
      <c r="A8" s="21" t="s">
        <v>64</v>
      </c>
      <c r="B8" s="22">
        <v>1646.49</v>
      </c>
      <c r="C8" s="22">
        <v>1732.61</v>
      </c>
    </row>
    <row r="26" spans="1:13" ht="16" x14ac:dyDescent="0.4">
      <c r="A26" s="24" t="s">
        <v>70</v>
      </c>
      <c r="E26" s="24" t="s">
        <v>75</v>
      </c>
      <c r="I26" s="24" t="s">
        <v>80</v>
      </c>
    </row>
    <row r="27" spans="1:13" ht="20.5" customHeight="1" x14ac:dyDescent="0.35">
      <c r="A27" s="19" t="s">
        <v>36</v>
      </c>
      <c r="B27" s="20" t="s">
        <v>66</v>
      </c>
      <c r="C27" s="20" t="s">
        <v>67</v>
      </c>
      <c r="E27" s="19" t="s">
        <v>41</v>
      </c>
      <c r="F27" s="20" t="s">
        <v>71</v>
      </c>
      <c r="G27" s="20" t="s">
        <v>72</v>
      </c>
      <c r="I27" s="19" t="s">
        <v>41</v>
      </c>
      <c r="J27" s="20" t="s">
        <v>76</v>
      </c>
      <c r="K27" s="20" t="s">
        <v>77</v>
      </c>
      <c r="L27" s="20" t="s">
        <v>78</v>
      </c>
      <c r="M27" s="20" t="s">
        <v>79</v>
      </c>
    </row>
    <row r="28" spans="1:13" x14ac:dyDescent="0.35">
      <c r="A28" s="21" t="s">
        <v>37</v>
      </c>
      <c r="B28" s="22">
        <v>94682.4</v>
      </c>
      <c r="C28" s="22">
        <v>158091.95000000001</v>
      </c>
      <c r="E28" s="21" t="s">
        <v>4</v>
      </c>
      <c r="F28" s="22">
        <v>17.5</v>
      </c>
      <c r="G28" s="22">
        <v>17.45</v>
      </c>
      <c r="I28" s="21" t="s">
        <v>63</v>
      </c>
      <c r="J28" s="22">
        <v>519.89</v>
      </c>
      <c r="K28" s="22">
        <v>428.87</v>
      </c>
      <c r="L28" s="22">
        <v>547.08000000000004</v>
      </c>
      <c r="M28" s="22">
        <v>451.64</v>
      </c>
    </row>
    <row r="29" spans="1:13" x14ac:dyDescent="0.35">
      <c r="A29" s="21" t="s">
        <v>38</v>
      </c>
      <c r="B29" s="22">
        <v>130128.51</v>
      </c>
      <c r="C29" s="22">
        <v>187818.5</v>
      </c>
      <c r="E29" s="21" t="s">
        <v>5</v>
      </c>
      <c r="F29" s="22">
        <v>17.510000000000002</v>
      </c>
      <c r="G29" s="22">
        <v>17.440000000000001</v>
      </c>
      <c r="I29" s="21" t="s">
        <v>64</v>
      </c>
      <c r="J29" s="22">
        <v>1646.49</v>
      </c>
      <c r="K29" s="22">
        <v>1358.14</v>
      </c>
      <c r="L29" s="22">
        <v>1732.61</v>
      </c>
      <c r="M29" s="22">
        <v>1430.26</v>
      </c>
    </row>
    <row r="30" spans="1:13" x14ac:dyDescent="0.35">
      <c r="A30" s="21" t="s">
        <v>39</v>
      </c>
      <c r="B30" s="22">
        <v>130128.51</v>
      </c>
      <c r="C30" s="22">
        <v>187818.5</v>
      </c>
      <c r="E30" s="21" t="s">
        <v>45</v>
      </c>
      <c r="F30" s="22">
        <v>32.17</v>
      </c>
      <c r="G30" s="22">
        <v>32.200000000000003</v>
      </c>
    </row>
    <row r="31" spans="1:13" x14ac:dyDescent="0.35">
      <c r="A31" s="21" t="s">
        <v>40</v>
      </c>
      <c r="B31" s="22">
        <v>2584.31</v>
      </c>
      <c r="C31" s="22">
        <v>4239.92</v>
      </c>
      <c r="E31" s="21" t="s">
        <v>38</v>
      </c>
      <c r="F31" s="22">
        <v>16.670000000000002</v>
      </c>
      <c r="G31" s="22">
        <v>16.670000000000002</v>
      </c>
    </row>
    <row r="32" spans="1:13" x14ac:dyDescent="0.35">
      <c r="A32" s="21" t="s">
        <v>68</v>
      </c>
      <c r="B32" s="22">
        <v>0</v>
      </c>
      <c r="C32" s="22">
        <v>0</v>
      </c>
      <c r="E32" s="21" t="s">
        <v>40</v>
      </c>
      <c r="F32" s="22">
        <v>18.649999999999999</v>
      </c>
      <c r="G32" s="22">
        <v>19.670000000000002</v>
      </c>
    </row>
    <row r="33" spans="5:7" x14ac:dyDescent="0.35">
      <c r="E33" s="21" t="s">
        <v>73</v>
      </c>
      <c r="F33" s="22">
        <v>17.510000000000002</v>
      </c>
      <c r="G33" s="22">
        <v>17.440000000000001</v>
      </c>
    </row>
    <row r="34" spans="5:7" x14ac:dyDescent="0.35">
      <c r="E34" s="21" t="s">
        <v>74</v>
      </c>
      <c r="F34" s="22">
        <v>17.510000000000002</v>
      </c>
      <c r="G34" s="22">
        <v>17.45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navrangpura_result</vt:lpstr>
      <vt:lpstr>Thaltej_results</vt:lpstr>
      <vt:lpstr>Overall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Srushti Dandekar</cp:lastModifiedBy>
  <dcterms:created xsi:type="dcterms:W3CDTF">2026-07-16T04:40:42Z</dcterms:created>
  <dcterms:modified xsi:type="dcterms:W3CDTF">2026-07-18T18:35:37Z</dcterms:modified>
</cp:coreProperties>
</file>